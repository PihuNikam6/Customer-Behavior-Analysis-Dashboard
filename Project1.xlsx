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499903896691A939/Documents/"/>
    </mc:Choice>
  </mc:AlternateContent>
  <xr:revisionPtr revIDLastSave="3" documentId="8_{B41AD7B0-9304-416B-BB11-6C451B16F841}" xr6:coauthVersionLast="47" xr6:coauthVersionMax="47" xr10:uidLastSave="{A9F5228F-99D0-41D0-8BD3-5307F38353BA}"/>
  <bookViews>
    <workbookView xWindow="-108" yWindow="-108" windowWidth="23256" windowHeight="12456" xr2:uid="{274F044F-A81E-4096-9371-5D7CCD02EB27}"/>
  </bookViews>
  <sheets>
    <sheet name="DASHBOARD" sheetId="3" r:id="rId1"/>
    <sheet name="RAW DATA" sheetId="1" r:id="rId2"/>
  </sheets>
  <definedNames>
    <definedName name="Slicer_Category">#N/A</definedName>
  </definedNames>
  <calcPr calcId="191029"/>
  <pivotCaches>
    <pivotCache cacheId="9"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<sst xmlns="http://schemas.openxmlformats.org/spreadsheetml/2006/main" count="124" uniqueCount="33">
  <si>
    <t>Transaction_ID</t>
  </si>
  <si>
    <t>Customer_ID</t>
  </si>
  <si>
    <t>Gender</t>
  </si>
  <si>
    <t>Age</t>
  </si>
  <si>
    <t>Loyalty_Status</t>
  </si>
  <si>
    <t>Subscription_Status</t>
  </si>
  <si>
    <t>Purchase_Amount</t>
  </si>
  <si>
    <t>Cost</t>
  </si>
  <si>
    <t>Profit</t>
  </si>
  <si>
    <t>Shipping_Type</t>
  </si>
  <si>
    <t>Category</t>
  </si>
  <si>
    <t>Purchase_Date</t>
  </si>
  <si>
    <t>Female</t>
  </si>
  <si>
    <t>Loyal</t>
  </si>
  <si>
    <t>Subscribed</t>
  </si>
  <si>
    <t>Express</t>
  </si>
  <si>
    <t>Clothing</t>
  </si>
  <si>
    <t>Male</t>
  </si>
  <si>
    <t>Returning</t>
  </si>
  <si>
    <t>Not Subscribed</t>
  </si>
  <si>
    <t>Standard</t>
  </si>
  <si>
    <t>Electronics</t>
  </si>
  <si>
    <t>Beauty</t>
  </si>
  <si>
    <t>New</t>
  </si>
  <si>
    <t>Home Decor</t>
  </si>
  <si>
    <t>Kitchen</t>
  </si>
  <si>
    <t>Grand Total</t>
  </si>
  <si>
    <t>Sum of Discount_Percent</t>
  </si>
  <si>
    <t>Customer ID</t>
  </si>
  <si>
    <t>Discount_Percent%</t>
  </si>
  <si>
    <t>Total Cost</t>
  </si>
  <si>
    <t>Purchase Amount</t>
  </si>
  <si>
    <t xml:space="preserve">Purchase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</si>
</sst>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8"/>
      <name val="Segoe UI"/>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0" fillId="2" borderId="0" xfId="0" applyFill="1"/>
  </cellXfs>
  <cellStyles count="1">
    <cellStyle name="Normal" xfId="0" builtinId="0"/>
  </cellStyles>
  <dxfs count="6">
    <dxf>
      <fill>
        <patternFill>
          <bgColor theme="8" tint="-0.24994659260841701"/>
        </patternFill>
      </fill>
    </dxf>
    <dxf>
      <fill>
        <patternFill>
          <fgColor rgb="FF800080"/>
          <bgColor rgb="FF7030A0"/>
        </patternFill>
      </fill>
    </dxf>
    <dxf>
      <fill>
        <patternFill patternType="solid">
          <fgColor rgb="FFA3233E"/>
          <bgColor theme="5" tint="-0.24994659260841701"/>
        </patternFill>
      </fill>
      <border>
        <left style="thin">
          <color auto="1"/>
        </left>
        <right style="thin">
          <color auto="1"/>
        </right>
        <top style="thin">
          <color auto="1"/>
        </top>
        <bottom style="thin">
          <color auto="1"/>
        </bottom>
      </border>
    </dxf>
    <dxf>
      <fill>
        <patternFill patternType="solid">
          <fgColor auto="1"/>
          <bgColor theme="9" tint="0.59996337778862885"/>
        </patternFill>
      </fill>
    </dxf>
    <dxf>
      <fill>
        <patternFill>
          <bgColor theme="3"/>
        </patternFill>
      </fill>
    </dxf>
    <dxf>
      <numFmt numFmtId="19" formatCode="dd/mm/yyyy"/>
    </dxf>
  </dxfs>
  <tableStyles count="5" defaultTableStyle="TableStyleMedium2" defaultPivotStyle="PivotStyleLight16">
    <tableStyle name="Slicer Style 1" pivot="0" table="0" count="1" xr9:uid="{07548CE4-DFC2-46F8-ADC6-E61CBDCC6E04}">
      <tableStyleElement type="wholeTable" dxfId="4"/>
    </tableStyle>
    <tableStyle name="Slicer Style 2" pivot="0" table="0" count="1" xr9:uid="{913D04D7-3144-4126-B6CB-BD175E8671A1}">
      <tableStyleElement type="wholeTable" dxfId="3"/>
    </tableStyle>
    <tableStyle name="Slicer Style 3" pivot="0" table="0" count="1" xr9:uid="{5FFAC947-5FA1-4D94-B6FB-BD7D0334412C}">
      <tableStyleElement type="wholeTable" dxfId="2"/>
    </tableStyle>
    <tableStyle name="Slicer Style 4" pivot="0" table="0" count="4" xr9:uid="{9458AE8A-88FE-4A3B-822E-F7D7C339A3D9}">
      <tableStyleElement type="wholeTable" dxfId="1"/>
    </tableStyle>
    <tableStyle name="Slicer Style 5" pivot="0" table="0" count="5" xr9:uid="{97AB5B24-2E8F-4AB6-BE35-D698C66454F2}">
      <tableStyleElement type="wholeTable" dxfId="0"/>
    </tableStyle>
  </tableStyles>
  <colors>
    <mruColors>
      <color rgb="FFFFCC66"/>
      <color rgb="FF00CCFF"/>
      <color rgb="FF000000"/>
      <color rgb="FFFFCCFF"/>
      <color rgb="FF800080"/>
      <color rgb="FFA3233E"/>
    </mruColors>
  </colors>
  <extLst>
    <ext xmlns:x14="http://schemas.microsoft.com/office/spreadsheetml/2009/9/main" uri="{46F421CA-312F-682f-3DD2-61675219B42D}">
      <x14:dxfs count="7">
        <dxf>
          <fill>
            <patternFill>
              <bgColor theme="0" tint="-0.14996795556505021"/>
            </patternFill>
          </fill>
        </dxf>
        <dxf>
          <fill>
            <patternFill>
              <bgColor theme="0"/>
            </patternFill>
          </fill>
        </dxf>
        <dxf>
          <fill>
            <patternFill>
              <bgColor theme="8" tint="-0.499984740745262"/>
            </patternFill>
          </fill>
        </dxf>
        <dxf>
          <fill>
            <patternFill>
              <bgColor rgb="FFFFCC66"/>
            </patternFill>
          </fill>
        </dxf>
        <dxf>
          <fill>
            <patternFill>
              <bgColor rgb="FFFFCC66"/>
            </patternFill>
          </fill>
        </dxf>
        <dxf>
          <fill>
            <patternFill>
              <bgColor rgb="FFFFCCFF"/>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5"/>
            <x14:slicerStyleElement type="selectedItemWithData" dxfId="4"/>
            <x14:slicerStyleElement type="selectedItemWithNoData" dxfId="6"/>
          </x14:slicerStyleElements>
        </x14:slicerStyle>
        <x14:slicerStyle name="Slicer Style 5">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[Project1.xlsx]DASHBOARD!PivotTable3</c:name>
    <c:fmtId val="0"/>
  </c:pivotSource>
  <c:chart>
    <c:autoTitleDeleted val="1"/>
    <c:pivotFmts>
      <c:pivotFmt>
        <c:idx val="0"/>
        <c:spPr>
          <a:solidFill>
            <a:schemeClr val="accent1"/>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724796463684791E-2"/>
          <c:y val="5.0925925925925923E-2"/>
          <c:w val="0.88033194391400327"/>
          <c:h val="0.86482283464566934"/>
        </c:manualLayout>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DASHBOARD!$A$4:$A$9</c:f>
              <c:strCache>
                <c:ptCount val="5"/>
                <c:pt idx="0">
                  <c:v>1005</c:v>
                </c:pt>
                <c:pt idx="1">
                  <c:v>1006</c:v>
                </c:pt>
                <c:pt idx="2">
                  <c:v>1010</c:v>
                </c:pt>
                <c:pt idx="3">
                  <c:v>1016</c:v>
                </c:pt>
                <c:pt idx="4">
                  <c:v>1019</c:v>
                </c:pt>
              </c:strCache>
            </c:strRef>
          </c:cat>
          <c:val>
            <c:numRef>
              <c:f>DASHBOARD!$B$4:$B$9</c:f>
              <c:numCache>
                <c:formatCode>General</c:formatCode>
                <c:ptCount val="5"/>
                <c:pt idx="0">
                  <c:v>4300</c:v>
                </c:pt>
                <c:pt idx="1">
                  <c:v>5100</c:v>
                </c:pt>
                <c:pt idx="2">
                  <c:v>4700</c:v>
                </c:pt>
                <c:pt idx="3">
                  <c:v>4900</c:v>
                </c:pt>
                <c:pt idx="4">
                  <c:v>5200</c:v>
                </c:pt>
              </c:numCache>
            </c:numRef>
          </c:val>
          <c:extLst>
            <c:ext xmlns:c16="http://schemas.microsoft.com/office/drawing/2014/chart" uri="{C3380CC4-5D6E-409C-BE32-E72D297353CC}">
              <c16:uniqueId val="{00000000-A172-4085-B70E-0977F050FA3E}"/>
            </c:ext>
          </c:extLst>
        </c:ser>
        <c:dLbls>
          <c:showLegendKey val="0"/>
          <c:showVal val="0"/>
          <c:showCatName val="0"/>
          <c:showSerName val="0"/>
          <c:showPercent val="0"/>
          <c:showBubbleSize val="0"/>
        </c:dLbls>
        <c:gapWidth val="182"/>
        <c:axId val="805748895"/>
        <c:axId val="805752255"/>
      </c:barChart>
      <c:catAx>
        <c:axId val="805748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752255"/>
        <c:crosses val="autoZero"/>
        <c:auto val="1"/>
        <c:lblAlgn val="ctr"/>
        <c:lblOffset val="100"/>
        <c:noMultiLvlLbl val="0"/>
      </c:catAx>
      <c:valAx>
        <c:axId val="80575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74889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[Project1.xlsx]DASHBOARD!PivotTable5</c:name>
    <c:fmtId val="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5.5921762372139514E-2"/>
          <c:y val="0.18439244577268477"/>
          <c:w val="0.75533448379249624"/>
          <c:h val="0.69688027666530261"/>
        </c:manualLayout>
      </c:layout>
      <c:pieChart>
        <c:varyColors val="1"/>
        <c:ser>
          <c:idx val="0"/>
          <c:order val="0"/>
          <c:tx>
            <c:strRef>
              <c:f>DASHBOARD!$H$3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DASHBOARD!$G$4:$G$9</c:f>
              <c:strCache>
                <c:ptCount val="5"/>
                <c:pt idx="0">
                  <c:v>1005</c:v>
                </c:pt>
                <c:pt idx="1">
                  <c:v>1006</c:v>
                </c:pt>
                <c:pt idx="2">
                  <c:v>1010</c:v>
                </c:pt>
                <c:pt idx="3">
                  <c:v>1016</c:v>
                </c:pt>
                <c:pt idx="4">
                  <c:v>1019</c:v>
                </c:pt>
              </c:strCache>
            </c:strRef>
          </c:cat>
          <c:val>
            <c:numRef>
              <c:f>DASHBOARD!$H$4:$H$9</c:f>
              <c:numCache>
                <c:formatCode>General</c:formatCode>
                <c:ptCount val="5"/>
                <c:pt idx="0">
                  <c:v>3100</c:v>
                </c:pt>
                <c:pt idx="1">
                  <c:v>3400</c:v>
                </c:pt>
                <c:pt idx="2">
                  <c:v>3100</c:v>
                </c:pt>
                <c:pt idx="3">
                  <c:v>3200</c:v>
                </c:pt>
                <c:pt idx="4">
                  <c:v>3300</c:v>
                </c:pt>
              </c:numCache>
            </c:numRef>
          </c:val>
          <c:extLst>
            <c:ext xmlns:c16="http://schemas.microsoft.com/office/drawing/2014/chart" uri="{C3380CC4-5D6E-409C-BE32-E72D297353CC}">
              <c16:uniqueId val="{00000000-9C93-4C2E-8865-C0D9BDAF20E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[Project1.xlsx]DASHBOARD!PivotTable9</c:name>
    <c:fmtId val="0"/>
  </c:pivotSource>
  <c:chart>
    <c:autoTitleDeleted val="1"/>
    <c:pivotFmts>
      <c:pivotFmt>
        <c:idx val="0"/>
        <c:spPr>
          <a:ln w="28575" cap="rnd">
            <a:solidFill>
              <a:schemeClr val="accent1"/>
            </a:solidFill>
            <a:round/>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611284323833966E-2"/>
          <c:y val="5.4254934499885624E-2"/>
          <c:w val="0.89877743135233212"/>
          <c:h val="0.75240875209378622"/>
        </c:manualLayout>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DASHBOARD!$J$4:$J$12</c:f>
              <c:strCache>
                <c:ptCount val="9"/>
                <c:pt idx="0">
                  <c:v>1001</c:v>
                </c:pt>
                <c:pt idx="1">
                  <c:v>1004</c:v>
                </c:pt>
                <c:pt idx="2">
                  <c:v>1005</c:v>
                </c:pt>
                <c:pt idx="3">
                  <c:v>1007</c:v>
                </c:pt>
                <c:pt idx="4">
                  <c:v>1010</c:v>
                </c:pt>
                <c:pt idx="5">
                  <c:v>1012</c:v>
                </c:pt>
                <c:pt idx="6">
                  <c:v>1014</c:v>
                </c:pt>
                <c:pt idx="7">
                  <c:v>1015</c:v>
                </c:pt>
                <c:pt idx="8">
                  <c:v>1018</c:v>
                </c:pt>
              </c:strCache>
            </c:strRef>
          </c:cat>
          <c:val>
            <c:numRef>
              <c:f>DASHBOARD!$K$4:$K$12</c:f>
              <c:numCache>
                <c:formatCode>General</c:formatCode>
                <c:ptCount val="9"/>
                <c:pt idx="0">
                  <c:v>10</c:v>
                </c:pt>
                <c:pt idx="1">
                  <c:v>15</c:v>
                </c:pt>
                <c:pt idx="2">
                  <c:v>20</c:v>
                </c:pt>
                <c:pt idx="3">
                  <c:v>10</c:v>
                </c:pt>
                <c:pt idx="4">
                  <c:v>10</c:v>
                </c:pt>
                <c:pt idx="5">
                  <c:v>20</c:v>
                </c:pt>
                <c:pt idx="6">
                  <c:v>15</c:v>
                </c:pt>
                <c:pt idx="7">
                  <c:v>10</c:v>
                </c:pt>
                <c:pt idx="8">
                  <c:v>10</c:v>
                </c:pt>
              </c:numCache>
            </c:numRef>
          </c:val>
          <c:smooth val="0"/>
          <c:extLst>
            <c:ext xmlns:c16="http://schemas.microsoft.com/office/drawing/2014/chart" uri="{C3380CC4-5D6E-409C-BE32-E72D297353CC}">
              <c16:uniqueId val="{00000000-4121-439B-80A5-5A0663AF750A}"/>
            </c:ext>
          </c:extLst>
        </c:ser>
        <c:dLbls>
          <c:showLegendKey val="0"/>
          <c:showVal val="0"/>
          <c:showCatName val="0"/>
          <c:showSerName val="0"/>
          <c:showPercent val="0"/>
          <c:showBubbleSize val="0"/>
        </c:dLbls>
        <c:smooth val="0"/>
        <c:axId val="909370159"/>
        <c:axId val="909365359"/>
      </c:lineChart>
      <c:catAx>
        <c:axId val="90937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365359"/>
        <c:crosses val="autoZero"/>
        <c:auto val="1"/>
        <c:lblAlgn val="ctr"/>
        <c:lblOffset val="100"/>
        <c:noMultiLvlLbl val="0"/>
      </c:catAx>
      <c:valAx>
        <c:axId val="909365359"/>
        <c:scaling>
          <c:orientation val="minMax"/>
        </c:scaling>
        <c:delete val="1"/>
        <c:axPos val="l"/>
        <c:numFmt formatCode="General" sourceLinked="1"/>
        <c:majorTickMark val="none"/>
        <c:minorTickMark val="none"/>
        <c:tickLblPos val="nextTo"/>
        <c:crossAx val="90937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fmlaLink="$G$1" lockText="1" noThreeD="1"/>
</file>

<file path=xl/ctrlProps/ctrlProp4.xml><?xml version="1.0" encoding="utf-8"?>
<formControlPr xmlns="http://schemas.microsoft.com/office/spreadsheetml/2009/9/main" objectType="CheckBox"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100264</xdr:rowOff>
    </xdr:from>
    <xdr:to>
      <xdr:col>5</xdr:col>
      <xdr:colOff>23446</xdr:colOff>
      <xdr:row>26</xdr:row>
      <xdr:rowOff>168729</xdr:rowOff>
    </xdr:to>
    <xdr:graphicFrame macro="">
      <xdr:nvGraphicFramePr>
        <xdr:cNvPr id="2" name="Chart 1">
          <a:extLst>
            <a:ext uri="{FF2B5EF4-FFF2-40B4-BE49-F238E27FC236}">
              <a16:creationId xmlns:a16="http://schemas.microsoft.com/office/drawing/2014/main" id="{DE3F05EF-F208-4261-B72C-D0B163FFB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5504</xdr:colOff>
      <xdr:row>9</xdr:row>
      <xdr:rowOff>130343</xdr:rowOff>
    </xdr:from>
    <xdr:to>
      <xdr:col>8</xdr:col>
      <xdr:colOff>83736</xdr:colOff>
      <xdr:row>27</xdr:row>
      <xdr:rowOff>2</xdr:rowOff>
    </xdr:to>
    <xdr:graphicFrame macro="">
      <xdr:nvGraphicFramePr>
        <xdr:cNvPr id="3" name="Chart 2">
          <a:extLst>
            <a:ext uri="{FF2B5EF4-FFF2-40B4-BE49-F238E27FC236}">
              <a16:creationId xmlns:a16="http://schemas.microsoft.com/office/drawing/2014/main" id="{9F3412C4-24F4-5F15-98E9-0742286D8F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204537</xdr:colOff>
      <xdr:row>12</xdr:row>
      <xdr:rowOff>30080</xdr:rowOff>
    </xdr:from>
    <xdr:to>
      <xdr:col>10</xdr:col>
      <xdr:colOff>1534028</xdr:colOff>
      <xdr:row>26</xdr:row>
      <xdr:rowOff>150396</xdr:rowOff>
    </xdr:to>
    <xdr:graphicFrame macro="">
      <xdr:nvGraphicFramePr>
        <xdr:cNvPr id="4" name="Chart 3">
          <a:extLst>
            <a:ext uri="{FF2B5EF4-FFF2-40B4-BE49-F238E27FC236}">
              <a16:creationId xmlns:a16="http://schemas.microsoft.com/office/drawing/2014/main" id="{CA251A71-B18D-1480-264B-B7A7CD6C7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55272</xdr:rowOff>
    </xdr:from>
    <xdr:to>
      <xdr:col>11</xdr:col>
      <xdr:colOff>0</xdr:colOff>
      <xdr:row>1</xdr:row>
      <xdr:rowOff>264261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F4297BAD-9489-86B1-216F-D3E6B85A58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55272"/>
              <a:ext cx="10382250" cy="613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187626</xdr:colOff>
      <xdr:row>1</xdr:row>
      <xdr:rowOff>419653</xdr:rowOff>
    </xdr:from>
    <xdr:to>
      <xdr:col>1</xdr:col>
      <xdr:colOff>742790</xdr:colOff>
      <xdr:row>1</xdr:row>
      <xdr:rowOff>712305</xdr:rowOff>
    </xdr:to>
    <xdr:sp macro="" textlink="">
      <xdr:nvSpPr>
        <xdr:cNvPr id="7" name="Speech Bubble: Rectangle with Corners Rounded 6">
          <a:extLst>
            <a:ext uri="{FF2B5EF4-FFF2-40B4-BE49-F238E27FC236}">
              <a16:creationId xmlns:a16="http://schemas.microsoft.com/office/drawing/2014/main" id="{C5727E51-A8D7-49AB-0FF0-101B2DB0B627}"/>
            </a:ext>
          </a:extLst>
        </xdr:cNvPr>
        <xdr:cNvSpPr/>
      </xdr:nvSpPr>
      <xdr:spPr>
        <a:xfrm>
          <a:off x="187626" y="601870"/>
          <a:ext cx="1416555" cy="292652"/>
        </a:xfrm>
        <a:prstGeom prst="wedgeRoundRectCallout">
          <a:avLst>
            <a:gd name="adj1" fmla="val -19765"/>
            <a:gd name="adj2" fmla="val 76717"/>
            <a:gd name="adj3" fmla="val 16667"/>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281940</xdr:colOff>
          <xdr:row>1</xdr:row>
          <xdr:rowOff>469348</xdr:rowOff>
        </xdr:from>
        <xdr:to>
          <xdr:col>1</xdr:col>
          <xdr:colOff>800100</xdr:colOff>
          <xdr:row>1</xdr:row>
          <xdr:rowOff>684696</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0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327915</xdr:colOff>
      <xdr:row>1</xdr:row>
      <xdr:rowOff>403087</xdr:rowOff>
    </xdr:from>
    <xdr:to>
      <xdr:col>4</xdr:col>
      <xdr:colOff>920436</xdr:colOff>
      <xdr:row>1</xdr:row>
      <xdr:rowOff>690218</xdr:rowOff>
    </xdr:to>
    <xdr:sp macro="" textlink="">
      <xdr:nvSpPr>
        <xdr:cNvPr id="9" name="Speech Bubble: Rectangle with Corners Rounded 8">
          <a:extLst>
            <a:ext uri="{FF2B5EF4-FFF2-40B4-BE49-F238E27FC236}">
              <a16:creationId xmlns:a16="http://schemas.microsoft.com/office/drawing/2014/main" id="{F03F66A2-DEA0-4E5F-803A-1B1C4A46017F}"/>
            </a:ext>
          </a:extLst>
        </xdr:cNvPr>
        <xdr:cNvSpPr/>
      </xdr:nvSpPr>
      <xdr:spPr>
        <a:xfrm>
          <a:off x="3050132" y="585304"/>
          <a:ext cx="1453913" cy="287131"/>
        </a:xfrm>
        <a:prstGeom prst="wedgeRoundRectCallout">
          <a:avLst>
            <a:gd name="adj1" fmla="val -19765"/>
            <a:gd name="adj2" fmla="val 76717"/>
            <a:gd name="adj3" fmla="val 16667"/>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321972</xdr:colOff>
      <xdr:row>1</xdr:row>
      <xdr:rowOff>393914</xdr:rowOff>
    </xdr:from>
    <xdr:to>
      <xdr:col>7</xdr:col>
      <xdr:colOff>923442</xdr:colOff>
      <xdr:row>1</xdr:row>
      <xdr:rowOff>703881</xdr:rowOff>
    </xdr:to>
    <xdr:sp macro="" textlink="">
      <xdr:nvSpPr>
        <xdr:cNvPr id="10" name="Speech Bubble: Rectangle with Corners Rounded 9">
          <a:extLst>
            <a:ext uri="{FF2B5EF4-FFF2-40B4-BE49-F238E27FC236}">
              <a16:creationId xmlns:a16="http://schemas.microsoft.com/office/drawing/2014/main" id="{4525F381-794D-4A40-BBA4-A111C7A20DCC}"/>
            </a:ext>
          </a:extLst>
        </xdr:cNvPr>
        <xdr:cNvSpPr/>
      </xdr:nvSpPr>
      <xdr:spPr>
        <a:xfrm>
          <a:off x="6217786" y="574728"/>
          <a:ext cx="1460334" cy="309967"/>
        </a:xfrm>
        <a:prstGeom prst="wedgeRoundRectCallout">
          <a:avLst>
            <a:gd name="adj1" fmla="val -19765"/>
            <a:gd name="adj2" fmla="val 76717"/>
            <a:gd name="adj3" fmla="val 16667"/>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328338</xdr:colOff>
      <xdr:row>1</xdr:row>
      <xdr:rowOff>387457</xdr:rowOff>
    </xdr:from>
    <xdr:to>
      <xdr:col>10</xdr:col>
      <xdr:colOff>1098302</xdr:colOff>
      <xdr:row>1</xdr:row>
      <xdr:rowOff>684507</xdr:rowOff>
    </xdr:to>
    <xdr:sp macro="" textlink="">
      <xdr:nvSpPr>
        <xdr:cNvPr id="11" name="Speech Bubble: Rectangle with Corners Rounded 10">
          <a:extLst>
            <a:ext uri="{FF2B5EF4-FFF2-40B4-BE49-F238E27FC236}">
              <a16:creationId xmlns:a16="http://schemas.microsoft.com/office/drawing/2014/main" id="{8FD43B8A-6526-4AB6-86A8-8573B5735EEC}"/>
            </a:ext>
          </a:extLst>
        </xdr:cNvPr>
        <xdr:cNvSpPr/>
      </xdr:nvSpPr>
      <xdr:spPr>
        <a:xfrm>
          <a:off x="9472338" y="568271"/>
          <a:ext cx="1628828" cy="297050"/>
        </a:xfrm>
        <a:prstGeom prst="wedgeRoundRectCallout">
          <a:avLst>
            <a:gd name="adj1" fmla="val -19765"/>
            <a:gd name="adj2" fmla="val 76717"/>
            <a:gd name="adj3" fmla="val 16667"/>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449580</xdr:colOff>
          <xdr:row>1</xdr:row>
          <xdr:rowOff>441740</xdr:rowOff>
        </xdr:from>
        <xdr:to>
          <xdr:col>4</xdr:col>
          <xdr:colOff>952500</xdr:colOff>
          <xdr:row>1</xdr:row>
          <xdr:rowOff>662608</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0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464820</xdr:colOff>
          <xdr:row>1</xdr:row>
          <xdr:rowOff>432661</xdr:rowOff>
        </xdr:from>
        <xdr:to>
          <xdr:col>7</xdr:col>
          <xdr:colOff>914400</xdr:colOff>
          <xdr:row>1</xdr:row>
          <xdr:rowOff>619931</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0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579120</xdr:colOff>
          <xdr:row>1</xdr:row>
          <xdr:rowOff>406830</xdr:rowOff>
        </xdr:from>
        <xdr:to>
          <xdr:col>10</xdr:col>
          <xdr:colOff>1005840</xdr:colOff>
          <xdr:row>1</xdr:row>
          <xdr:rowOff>678050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0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N" sz="800" b="0" i="0" u="none" strike="noStrike" baseline="0">
                  <a:solidFill>
                    <a:srgbClr val="000000"/>
                  </a:solidFill>
                  <a:latin typeface="Segoe UI"/>
                  <a:cs typeface="Segoe UI"/>
                </a:rPr>
                <a:t>Dashboard 4</a:t>
              </a:r>
            </a:p>
          </xdr:txBody>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dnyaNikam" refreshedDate="45975.657124884259" createdVersion="8" refreshedVersion="8" minRefreshableVersion="3" recordCount="20" xr:uid="{6B1F3912-16E3-4446-A2A7-9D2068ADA1FE}">
  <cacheSource type="worksheet">
    <worksheetSource name="Table1"/>
  </cacheSource>
  <cacheFields count="13">
    <cacheField name="Transaction_ID" numFmtId="0">
      <sharedItems containsSemiMixedTypes="0" containsString="0" containsNumber="1" containsInteger="1" minValue="1" maxValue="20"/>
    </cacheField>
    <cacheField name="Customer_ID" numFmtId="0">
      <sharedItems containsSemiMixedTypes="0" containsString="0" containsNumber="1" containsInteger="1" minValue="1001" maxValue="1020" count="20">
        <n v="1001"/>
        <n v="1002"/>
        <n v="1003"/>
        <n v="1004"/>
        <n v="1005"/>
        <n v="1006"/>
        <n v="1007"/>
        <n v="1008"/>
        <n v="1009"/>
        <n v="1010"/>
        <n v="1011"/>
        <n v="1012"/>
        <n v="1013"/>
        <n v="1014"/>
        <n v="1015"/>
        <n v="1016"/>
        <n v="1017"/>
        <n v="1018"/>
        <n v="1019"/>
        <n v="1020"/>
      </sharedItems>
    </cacheField>
    <cacheField name="Gender" numFmtId="0">
      <sharedItems/>
    </cacheField>
    <cacheField name="Age" numFmtId="0">
      <sharedItems containsSemiMixedTypes="0" containsString="0" containsNumber="1" containsInteger="1" minValue="22" maxValue="45"/>
    </cacheField>
    <cacheField name="Loyalty_Status" numFmtId="0">
      <sharedItems/>
    </cacheField>
    <cacheField name="Subscription_Status" numFmtId="0">
      <sharedItems count="2">
        <s v="Subscribed"/>
        <s v="Not Subscribed"/>
      </sharedItems>
    </cacheField>
    <cacheField name="Purchase_Amount" numFmtId="0">
      <sharedItems containsSemiMixedTypes="0" containsString="0" containsNumber="1" containsInteger="1" minValue="950" maxValue="5200"/>
    </cacheField>
    <cacheField name="Cost" numFmtId="0">
      <sharedItems containsSemiMixedTypes="0" containsString="0" containsNumber="1" containsInteger="1" minValue="600" maxValue="3400"/>
    </cacheField>
    <cacheField name="Discount_Percent" numFmtId="0">
      <sharedItems containsSemiMixedTypes="0" containsString="0" containsNumber="1" containsInteger="1" minValue="0" maxValue="20"/>
    </cacheField>
    <cacheField name="Profit" numFmtId="0">
      <sharedItems containsSemiMixedTypes="0" containsString="0" containsNumber="1" minValue="207.5" maxValue="1900"/>
    </cacheField>
    <cacheField name="Shipping_Type" numFmtId="0">
      <sharedItems/>
    </cacheField>
    <cacheField name="Category" numFmtId="0">
      <sharedItems count="5">
        <s v="Clothing"/>
        <s v="Electronics"/>
        <s v="Beauty"/>
        <s v="Home Decor"/>
        <s v="Kitchen"/>
      </sharedItems>
    </cacheField>
    <cacheField name="Purchase_Date" numFmtId="14">
      <sharedItems containsSemiMixedTypes="0" containsNonDate="0" containsDate="1" containsString="0" minDate="2023-01-05T00:00:00" maxDate="2023-01-23T00:00:00"/>
    </cacheField>
  </cacheFields>
  <extLst>
    <ext xmlns:x14="http://schemas.microsoft.com/office/spreadsheetml/2009/9/main" uri="{725AE2AE-9491-48be-B2B4-4EB974FC3084}">
      <x14:pivotCacheDefinition pivotCacheId="20984544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s v="Female"/>
    <n v="28"/>
    <s v="Loyal"/>
    <x v="0"/>
    <n v="2500"/>
    <n v="1500"/>
    <n v="10"/>
    <n v="750"/>
    <s v="Express"/>
    <x v="0"/>
    <d v="2023-01-05T00:00:00"/>
  </r>
  <r>
    <n v="2"/>
    <x v="1"/>
    <s v="Male"/>
    <n v="34"/>
    <s v="Returning"/>
    <x v="1"/>
    <n v="1800"/>
    <n v="1100"/>
    <n v="0"/>
    <n v="700"/>
    <s v="Standard"/>
    <x v="1"/>
    <d v="2023-01-06T00:00:00"/>
  </r>
  <r>
    <n v="3"/>
    <x v="2"/>
    <s v="Female"/>
    <n v="22"/>
    <s v="Loyal"/>
    <x v="0"/>
    <n v="3200"/>
    <n v="2000"/>
    <n v="5"/>
    <n v="1040"/>
    <s v="Express"/>
    <x v="2"/>
    <d v="2023-01-07T00:00:00"/>
  </r>
  <r>
    <n v="4"/>
    <x v="3"/>
    <s v="Female"/>
    <n v="30"/>
    <s v="New"/>
    <x v="1"/>
    <n v="950"/>
    <n v="600"/>
    <n v="15"/>
    <n v="207.5"/>
    <s v="Standard"/>
    <x v="0"/>
    <d v="2023-01-07T00:00:00"/>
  </r>
  <r>
    <n v="5"/>
    <x v="4"/>
    <s v="Male"/>
    <n v="27"/>
    <s v="Returning"/>
    <x v="0"/>
    <n v="4300"/>
    <n v="3100"/>
    <n v="20"/>
    <n v="440"/>
    <s v="Express"/>
    <x v="1"/>
    <d v="2023-01-08T00:00:00"/>
  </r>
  <r>
    <n v="6"/>
    <x v="5"/>
    <s v="Female"/>
    <n v="45"/>
    <s v="Loyal"/>
    <x v="0"/>
    <n v="5100"/>
    <n v="3400"/>
    <n v="0"/>
    <n v="1700"/>
    <s v="Express"/>
    <x v="3"/>
    <d v="2023-01-09T00:00:00"/>
  </r>
  <r>
    <n v="7"/>
    <x v="6"/>
    <s v="Male"/>
    <n v="31"/>
    <s v="New"/>
    <x v="1"/>
    <n v="1200"/>
    <n v="800"/>
    <n v="10"/>
    <n v="280"/>
    <s v="Standard"/>
    <x v="0"/>
    <d v="2023-01-10T00:00:00"/>
  </r>
  <r>
    <n v="8"/>
    <x v="7"/>
    <s v="Female"/>
    <n v="26"/>
    <s v="Returning"/>
    <x v="0"/>
    <n v="2750"/>
    <n v="1700"/>
    <n v="5"/>
    <n v="902.5"/>
    <s v="Express"/>
    <x v="2"/>
    <d v="2023-01-12T00:00:00"/>
  </r>
  <r>
    <n v="9"/>
    <x v="8"/>
    <s v="Male"/>
    <n v="39"/>
    <s v="Returning"/>
    <x v="1"/>
    <n v="2200"/>
    <n v="1500"/>
    <n v="0"/>
    <n v="700"/>
    <s v="Standard"/>
    <x v="4"/>
    <d v="2023-01-13T00:00:00"/>
  </r>
  <r>
    <n v="10"/>
    <x v="9"/>
    <s v="Female"/>
    <n v="29"/>
    <s v="Loyal"/>
    <x v="0"/>
    <n v="4700"/>
    <n v="3100"/>
    <n v="10"/>
    <n v="1130"/>
    <s v="Express"/>
    <x v="1"/>
    <d v="2023-01-15T00:00:00"/>
  </r>
  <r>
    <n v="11"/>
    <x v="10"/>
    <s v="Male"/>
    <n v="33"/>
    <s v="New"/>
    <x v="1"/>
    <n v="1600"/>
    <n v="1000"/>
    <n v="5"/>
    <n v="520"/>
    <s v="Standard"/>
    <x v="0"/>
    <d v="2023-01-15T00:00:00"/>
  </r>
  <r>
    <n v="12"/>
    <x v="11"/>
    <s v="Female"/>
    <n v="41"/>
    <s v="Returning"/>
    <x v="0"/>
    <n v="3900"/>
    <n v="2600"/>
    <n v="20"/>
    <n v="520"/>
    <s v="Express"/>
    <x v="3"/>
    <d v="2023-01-16T00:00:00"/>
  </r>
  <r>
    <n v="13"/>
    <x v="12"/>
    <s v="Male"/>
    <n v="25"/>
    <s v="Returning"/>
    <x v="1"/>
    <n v="2100"/>
    <n v="1400"/>
    <n v="0"/>
    <n v="700"/>
    <s v="Standard"/>
    <x v="2"/>
    <d v="2023-01-17T00:00:00"/>
  </r>
  <r>
    <n v="14"/>
    <x v="13"/>
    <s v="Female"/>
    <n v="24"/>
    <s v="Loyal"/>
    <x v="0"/>
    <n v="3500"/>
    <n v="2100"/>
    <n v="15"/>
    <n v="875"/>
    <s v="Express"/>
    <x v="0"/>
    <d v="2023-01-18T00:00:00"/>
  </r>
  <r>
    <n v="15"/>
    <x v="14"/>
    <s v="Male"/>
    <n v="35"/>
    <s v="Returning"/>
    <x v="1"/>
    <n v="1400"/>
    <n v="900"/>
    <n v="10"/>
    <n v="360"/>
    <s v="Standard"/>
    <x v="4"/>
    <d v="2023-01-19T00:00:00"/>
  </r>
  <r>
    <n v="16"/>
    <x v="15"/>
    <s v="Female"/>
    <n v="38"/>
    <s v="Loyal"/>
    <x v="0"/>
    <n v="4900"/>
    <n v="3200"/>
    <n v="5"/>
    <n v="1330"/>
    <s v="Express"/>
    <x v="1"/>
    <d v="2023-01-20T00:00:00"/>
  </r>
  <r>
    <n v="17"/>
    <x v="16"/>
    <s v="Male"/>
    <n v="29"/>
    <s v="New"/>
    <x v="1"/>
    <n v="1300"/>
    <n v="800"/>
    <n v="0"/>
    <n v="500"/>
    <s v="Standard"/>
    <x v="2"/>
    <d v="2023-01-20T00:00:00"/>
  </r>
  <r>
    <n v="18"/>
    <x v="17"/>
    <s v="Female"/>
    <n v="32"/>
    <s v="Returning"/>
    <x v="0"/>
    <n v="2600"/>
    <n v="1700"/>
    <n v="10"/>
    <n v="540"/>
    <s v="Express"/>
    <x v="0"/>
    <d v="2023-01-21T00:00:00"/>
  </r>
  <r>
    <n v="19"/>
    <x v="18"/>
    <s v="Male"/>
    <n v="40"/>
    <s v="Loyal"/>
    <x v="0"/>
    <n v="5200"/>
    <n v="3300"/>
    <n v="0"/>
    <n v="1900"/>
    <s v="Express"/>
    <x v="3"/>
    <d v="2023-01-21T00:00:00"/>
  </r>
  <r>
    <n v="20"/>
    <x v="19"/>
    <s v="Female"/>
    <n v="27"/>
    <s v="New"/>
    <x v="1"/>
    <n v="1100"/>
    <n v="700"/>
    <n v="5"/>
    <n v="345"/>
    <s v="Standard"/>
    <x v="4"/>
    <d v="2023-01-22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666E80-716C-47AA-8797-28383D6D6934}" name="PivotTable9" cacheId="9"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Customer ID">
  <location ref="J3:K12" firstHeaderRow="1" firstDataRow="1" firstDataCol="1"/>
  <pivotFields count="13">
    <pivotField showAll="0"/>
    <pivotField axis="axisRow" showAll="0" measureFilter="1">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dataField="1" showAll="0"/>
    <pivotField showAll="0"/>
    <pivotField showAll="0"/>
    <pivotField showAll="0"/>
    <pivotField numFmtId="14" showAll="0"/>
  </pivotFields>
  <rowFields count="1">
    <field x="1"/>
  </rowFields>
  <rowItems count="9">
    <i>
      <x/>
    </i>
    <i>
      <x v="3"/>
    </i>
    <i>
      <x v="4"/>
    </i>
    <i>
      <x v="6"/>
    </i>
    <i>
      <x v="9"/>
    </i>
    <i>
      <x v="11"/>
    </i>
    <i>
      <x v="13"/>
    </i>
    <i>
      <x v="14"/>
    </i>
    <i>
      <x v="17"/>
    </i>
  </rowItems>
  <colItems count="1">
    <i/>
  </colItems>
  <dataFields count="1">
    <dataField name="Sum of Discount_Percen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13" showRowHeaders="1" showColHeaders="1" showRowStripes="0" showColStripes="0" showLastColumn="1"/>
  <filters count="1">
    <filter fld="1"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FEFE13-EDF6-46DE-9ACF-099D8CE36E67}" name="PivotTable5"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Customer ID">
  <location ref="G3:H9" firstHeaderRow="1" firstDataRow="1" firstDataCol="1"/>
  <pivotFields count="13">
    <pivotField showAll="0"/>
    <pivotField axis="axisRow" showAll="0" measureFilter="1">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dataField="1" showAll="0"/>
    <pivotField showAll="0"/>
    <pivotField showAll="0"/>
    <pivotField showAll="0"/>
    <pivotField showAll="0">
      <items count="6">
        <item x="2"/>
        <item x="0"/>
        <item x="1"/>
        <item x="3"/>
        <item x="4"/>
        <item t="default"/>
      </items>
    </pivotField>
    <pivotField numFmtId="14" showAll="0"/>
  </pivotFields>
  <rowFields count="1">
    <field x="1"/>
  </rowFields>
  <rowItems count="6">
    <i>
      <x v="4"/>
    </i>
    <i>
      <x v="5"/>
    </i>
    <i>
      <x v="9"/>
    </i>
    <i>
      <x v="15"/>
    </i>
    <i>
      <x v="18"/>
    </i>
    <i t="grand">
      <x/>
    </i>
  </rowItems>
  <colItems count="1">
    <i/>
  </colItems>
  <dataFields count="1">
    <dataField name="Total Cost" fld="7" baseField="1" baseItem="4"/>
  </dataFields>
  <chartFormats count="1">
    <chartFormat chart="0" format="0" series="1">
      <pivotArea type="data" outline="0" fieldPosition="0">
        <references count="1">
          <reference field="4294967294" count="1" selected="0">
            <x v="0"/>
          </reference>
        </references>
      </pivotArea>
    </chartFormat>
  </chartFormats>
  <pivotTableStyleInfo name="PivotStyleDark13"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D2FA35-B383-472C-9092-507937C2D719}" name="PivotTable4" cacheId="9"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ustomer ID">
  <location ref="D3:E9" firstHeaderRow="1" firstDataRow="1" firstDataCol="1"/>
  <pivotFields count="13">
    <pivotField showAll="0"/>
    <pivotField axis="axisRow" showAll="0" measureFilter="1">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dataField="1" showAll="0"/>
    <pivotField showAll="0"/>
    <pivotField showAll="0"/>
    <pivotField showAll="0"/>
    <pivotField showAll="0"/>
    <pivotField showAll="0">
      <items count="6">
        <item x="2"/>
        <item x="0"/>
        <item x="1"/>
        <item x="3"/>
        <item x="4"/>
        <item t="default"/>
      </items>
    </pivotField>
    <pivotField numFmtId="14" showAll="0"/>
  </pivotFields>
  <rowFields count="1">
    <field x="1"/>
  </rowFields>
  <rowItems count="6">
    <i>
      <x v="3"/>
    </i>
    <i>
      <x v="6"/>
    </i>
    <i>
      <x v="14"/>
    </i>
    <i>
      <x v="16"/>
    </i>
    <i>
      <x v="19"/>
    </i>
    <i t="grand">
      <x/>
    </i>
  </rowItems>
  <colItems count="1">
    <i/>
  </colItems>
  <dataFields count="1">
    <dataField name="Purchase Amount" fld="6" baseField="1" baseItem="3"/>
  </dataFields>
  <pivotTableStyleInfo name="PivotStyleDark9"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05D8A4-8A11-46C9-B943-DB4D54C9DFED}" name="PivotTable3" cacheId="9"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Customer ID">
  <location ref="A3:B9" firstHeaderRow="1" firstDataRow="1" firstDataCol="1"/>
  <pivotFields count="13">
    <pivotField showAll="0"/>
    <pivotField axis="axisRow" showAll="0" measureFilter="1">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items count="3">
        <item x="1"/>
        <item x="0"/>
        <item t="default"/>
      </items>
    </pivotField>
    <pivotField dataField="1" showAll="0"/>
    <pivotField showAll="0"/>
    <pivotField showAll="0"/>
    <pivotField showAll="0"/>
    <pivotField showAll="0"/>
    <pivotField showAll="0">
      <items count="6">
        <item x="2"/>
        <item x="0"/>
        <item x="1"/>
        <item x="3"/>
        <item x="4"/>
        <item t="default"/>
      </items>
    </pivotField>
    <pivotField numFmtId="14" showAll="0"/>
  </pivotFields>
  <rowFields count="1">
    <field x="1"/>
  </rowFields>
  <rowItems count="6">
    <i>
      <x v="4"/>
    </i>
    <i>
      <x v="5"/>
    </i>
    <i>
      <x v="9"/>
    </i>
    <i>
      <x v="15"/>
    </i>
    <i>
      <x v="18"/>
    </i>
    <i t="grand">
      <x/>
    </i>
  </rowItems>
  <colItems count="1">
    <i/>
  </colItems>
  <dataFields count="1">
    <dataField name="Purchase Amount " fld="6" baseField="1" baseItem="4"/>
  </dataFields>
  <chartFormats count="1">
    <chartFormat chart="0" format="0" series="1">
      <pivotArea type="data" outline="0" fieldPosition="0">
        <references count="1">
          <reference field="4294967294" count="1" selected="0">
            <x v="0"/>
          </reference>
        </references>
      </pivotArea>
    </chartFormat>
  </chartFormats>
  <pivotTableStyleInfo name="PivotStyleDark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6FFBC8-CA4A-4E5D-A760-976CF700F459}" sourceName="Category">
  <pivotTables>
    <pivotTable tabId="3" name="PivotTable3"/>
    <pivotTable tabId="3" name="PivotTable4"/>
    <pivotTable tabId="3" name="PivotTable5"/>
  </pivotTables>
  <data>
    <tabular pivotCacheId="2098454443">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D399B24-CE81-4D55-8A9F-EDF593E3B873}" cache="Slicer_Category" caption="Category" columnCount="5" showCaption="0" style="Slicer Style 5"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122827-2076-4336-AE1D-C87C3AB4176B}" name="Table1" displayName="Table1" ref="A1:M21" totalsRowShown="0">
  <autoFilter ref="A1:M21" xr:uid="{5F122827-2076-4336-AE1D-C87C3AB4176B}"/>
  <tableColumns count="13">
    <tableColumn id="1" xr3:uid="{4BAEA9B7-3C53-4990-AC3A-F24DC14B98FD}" name="Transaction_ID"/>
    <tableColumn id="2" xr3:uid="{F36DCD07-0145-4FB9-BD96-74A82C1CE4C7}" name="Customer_ID"/>
    <tableColumn id="3" xr3:uid="{C0133CDA-936B-4BBE-AE9C-38E0A2ADD91C}" name="Gender"/>
    <tableColumn id="4" xr3:uid="{CE716712-7A85-4A4E-9B1C-ABFF3401060A}" name="Age"/>
    <tableColumn id="5" xr3:uid="{C29FB6C0-6122-4F3D-91D7-3D0DF364BD43}" name="Loyalty_Status"/>
    <tableColumn id="6" xr3:uid="{6E1F8F08-4F36-46CE-8FC9-3FA6F8D4AC17}" name="Subscription_Status"/>
    <tableColumn id="7" xr3:uid="{B87E7ACC-830E-404E-8055-547D4904D3F0}" name="Purchase_Amount"/>
    <tableColumn id="8" xr3:uid="{3F279BB2-6376-4B2A-A2B6-1C8233FE5253}" name="Cost"/>
    <tableColumn id="9" xr3:uid="{58AB3B4B-9BCE-4311-94E6-74021787C13F}" name="Discount_Percent%"/>
    <tableColumn id="10" xr3:uid="{051B4B57-F99E-4B25-99F4-BB644EE89F4E}" name="Profit"/>
    <tableColumn id="11" xr3:uid="{976DEA61-A51C-4E62-BBD8-DF6689E7C2A9}" name="Shipping_Type"/>
    <tableColumn id="12" xr3:uid="{9527B1B7-ABFF-428A-AEAE-FB6999963366}" name="Category"/>
    <tableColumn id="13" xr3:uid="{0897D7B3-922C-4207-96C1-17B7D1F77B73}" name="Purchase_Date" dataDxfId="5"/>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D2C1-0830-4EB5-88A0-7261F0F8CB14}">
  <dimension ref="A1:M27"/>
  <sheetViews>
    <sheetView showGridLines="0" showRowColHeaders="0" tabSelected="1" zoomScale="96" zoomScaleNormal="138" workbookViewId="0">
      <selection activeCell="L7" sqref="L7"/>
    </sheetView>
  </sheetViews>
  <sheetFormatPr defaultRowHeight="14.4" x14ac:dyDescent="0.3"/>
  <cols>
    <col min="1" max="1" width="12.5546875" bestFit="1" customWidth="1"/>
    <col min="2" max="2" width="23.33203125" bestFit="1" customWidth="1"/>
    <col min="3" max="3" width="3.77734375" customWidth="1"/>
    <col min="4" max="4" width="12.5546875" bestFit="1" customWidth="1"/>
    <col min="5" max="5" width="23.33203125" bestFit="1" customWidth="1"/>
    <col min="6" max="6" width="2.6640625" customWidth="1"/>
    <col min="7" max="7" width="12.5546875" bestFit="1" customWidth="1"/>
    <col min="8" max="8" width="22.5546875" bestFit="1" customWidth="1"/>
    <col min="9" max="9" width="3" customWidth="1"/>
    <col min="10" max="10" width="12.5546875" bestFit="1" customWidth="1"/>
    <col min="11" max="11" width="22.5546875" bestFit="1" customWidth="1"/>
    <col min="12" max="12" width="8.6640625" customWidth="1"/>
    <col min="13" max="13" width="8.88671875" hidden="1" customWidth="1"/>
  </cols>
  <sheetData>
    <row r="1" spans="1:11" ht="31.8" customHeight="1" x14ac:dyDescent="0.3">
      <c r="A1" s="6" t="b">
        <v>0</v>
      </c>
      <c r="B1" s="6"/>
      <c r="C1" s="6"/>
      <c r="D1" s="6" t="b">
        <v>1</v>
      </c>
      <c r="E1" s="6"/>
      <c r="F1" s="6"/>
      <c r="G1" s="6" t="b">
        <v>0</v>
      </c>
      <c r="H1" s="6"/>
      <c r="I1" s="6"/>
      <c r="J1" s="6" t="b">
        <v>0</v>
      </c>
      <c r="K1" s="6"/>
    </row>
    <row r="2" spans="1:11" ht="62.4" customHeight="1" x14ac:dyDescent="0.3">
      <c r="A2" s="6"/>
      <c r="B2" s="6"/>
      <c r="C2" s="6"/>
      <c r="D2" s="6"/>
      <c r="E2" s="6"/>
      <c r="F2" s="6"/>
      <c r="G2" s="6"/>
      <c r="H2" s="6"/>
      <c r="I2" s="6"/>
      <c r="J2" s="6"/>
      <c r="K2" s="6"/>
    </row>
    <row r="3" spans="1:11" x14ac:dyDescent="0.3">
      <c r="A3" s="2" t="s">
        <v>28</v>
      </c>
      <c r="B3" t="s">
        <v>32</v>
      </c>
      <c r="C3" s="6"/>
      <c r="D3" s="2" t="s">
        <v>28</v>
      </c>
      <c r="E3" t="s">
        <v>31</v>
      </c>
      <c r="F3" s="6"/>
      <c r="G3" s="2" t="s">
        <v>28</v>
      </c>
      <c r="H3" t="s">
        <v>30</v>
      </c>
      <c r="I3" s="6"/>
      <c r="J3" s="2" t="s">
        <v>28</v>
      </c>
      <c r="K3" t="s">
        <v>27</v>
      </c>
    </row>
    <row r="4" spans="1:11" x14ac:dyDescent="0.3">
      <c r="A4" s="3">
        <v>1005</v>
      </c>
      <c r="B4" s="4">
        <v>4300</v>
      </c>
      <c r="C4" s="6"/>
      <c r="D4" s="3">
        <v>1004</v>
      </c>
      <c r="E4" s="4">
        <v>950</v>
      </c>
      <c r="F4" s="6"/>
      <c r="G4" s="3">
        <v>1005</v>
      </c>
      <c r="H4" s="4">
        <v>3100</v>
      </c>
      <c r="I4" s="6"/>
      <c r="J4" s="3">
        <v>1001</v>
      </c>
      <c r="K4" s="4">
        <v>10</v>
      </c>
    </row>
    <row r="5" spans="1:11" x14ac:dyDescent="0.3">
      <c r="A5" s="3">
        <v>1006</v>
      </c>
      <c r="B5" s="4">
        <v>5100</v>
      </c>
      <c r="C5" s="6"/>
      <c r="D5" s="3">
        <v>1007</v>
      </c>
      <c r="E5" s="4">
        <v>1200</v>
      </c>
      <c r="F5" s="6"/>
      <c r="G5" s="3">
        <v>1006</v>
      </c>
      <c r="H5" s="4">
        <v>3400</v>
      </c>
      <c r="I5" s="6"/>
      <c r="J5" s="3">
        <v>1004</v>
      </c>
      <c r="K5" s="4">
        <v>15</v>
      </c>
    </row>
    <row r="6" spans="1:11" x14ac:dyDescent="0.3">
      <c r="A6" s="3">
        <v>1010</v>
      </c>
      <c r="B6" s="4">
        <v>4700</v>
      </c>
      <c r="C6" s="6"/>
      <c r="D6" s="3">
        <v>1015</v>
      </c>
      <c r="E6" s="4">
        <v>1400</v>
      </c>
      <c r="F6" s="6"/>
      <c r="G6" s="3">
        <v>1010</v>
      </c>
      <c r="H6" s="4">
        <v>3100</v>
      </c>
      <c r="I6" s="6"/>
      <c r="J6" s="3">
        <v>1005</v>
      </c>
      <c r="K6" s="4">
        <v>20</v>
      </c>
    </row>
    <row r="7" spans="1:11" x14ac:dyDescent="0.3">
      <c r="A7" s="3">
        <v>1016</v>
      </c>
      <c r="B7" s="4">
        <v>4900</v>
      </c>
      <c r="C7" s="6"/>
      <c r="D7" s="3">
        <v>1017</v>
      </c>
      <c r="E7" s="4">
        <v>1300</v>
      </c>
      <c r="F7" s="6"/>
      <c r="G7" s="3">
        <v>1016</v>
      </c>
      <c r="H7" s="4">
        <v>3200</v>
      </c>
      <c r="I7" s="6"/>
      <c r="J7" s="3">
        <v>1007</v>
      </c>
      <c r="K7" s="4">
        <v>10</v>
      </c>
    </row>
    <row r="8" spans="1:11" x14ac:dyDescent="0.3">
      <c r="A8" s="3">
        <v>1019</v>
      </c>
      <c r="B8" s="4">
        <v>5200</v>
      </c>
      <c r="C8" s="6"/>
      <c r="D8" s="3">
        <v>1020</v>
      </c>
      <c r="E8" s="4">
        <v>1100</v>
      </c>
      <c r="F8" s="6"/>
      <c r="G8" s="3">
        <v>1019</v>
      </c>
      <c r="H8" s="4">
        <v>3300</v>
      </c>
      <c r="I8" s="6"/>
      <c r="J8" s="3">
        <v>1010</v>
      </c>
      <c r="K8" s="4">
        <v>10</v>
      </c>
    </row>
    <row r="9" spans="1:11" x14ac:dyDescent="0.3">
      <c r="A9" s="3" t="s">
        <v>26</v>
      </c>
      <c r="B9" s="4">
        <v>24200</v>
      </c>
      <c r="C9" s="6"/>
      <c r="D9" s="3" t="s">
        <v>26</v>
      </c>
      <c r="E9" s="4">
        <v>5950</v>
      </c>
      <c r="F9" s="6"/>
      <c r="G9" s="3" t="s">
        <v>26</v>
      </c>
      <c r="H9" s="4">
        <v>16100</v>
      </c>
      <c r="I9" s="6"/>
      <c r="J9" s="3">
        <v>1012</v>
      </c>
      <c r="K9" s="4">
        <v>20</v>
      </c>
    </row>
    <row r="10" spans="1:11" x14ac:dyDescent="0.3">
      <c r="A10" s="6"/>
      <c r="B10" s="6"/>
      <c r="C10" s="6"/>
      <c r="D10" s="6"/>
      <c r="E10" s="6"/>
      <c r="F10" s="6"/>
      <c r="I10" s="6"/>
      <c r="J10" s="3">
        <v>1014</v>
      </c>
      <c r="K10" s="4">
        <v>15</v>
      </c>
    </row>
    <row r="11" spans="1:11" x14ac:dyDescent="0.3">
      <c r="A11" s="6"/>
      <c r="B11" s="6"/>
      <c r="C11" s="6"/>
      <c r="D11" s="6"/>
      <c r="E11" s="6"/>
      <c r="F11" s="6"/>
      <c r="G11" s="6"/>
      <c r="H11" s="6"/>
      <c r="I11" s="6"/>
      <c r="J11" s="3">
        <v>1015</v>
      </c>
      <c r="K11" s="4">
        <v>10</v>
      </c>
    </row>
    <row r="12" spans="1:11" x14ac:dyDescent="0.3">
      <c r="A12" s="6"/>
      <c r="B12" s="6"/>
      <c r="C12" s="6"/>
      <c r="D12" s="6"/>
      <c r="E12" s="6"/>
      <c r="F12" s="6"/>
      <c r="G12" s="6"/>
      <c r="H12" s="6"/>
      <c r="I12" s="6"/>
      <c r="J12" s="3">
        <v>1018</v>
      </c>
      <c r="K12" s="4">
        <v>10</v>
      </c>
    </row>
    <row r="13" spans="1:11" x14ac:dyDescent="0.3">
      <c r="F13" s="6"/>
      <c r="G13" s="6"/>
      <c r="H13" s="6"/>
      <c r="I13" s="6"/>
      <c r="J13" s="6"/>
      <c r="K13" s="6"/>
    </row>
    <row r="14" spans="1:11" x14ac:dyDescent="0.3">
      <c r="F14" s="6"/>
      <c r="G14" s="6"/>
      <c r="H14" s="6"/>
      <c r="I14" s="6"/>
      <c r="J14" s="6"/>
      <c r="K14" s="6"/>
    </row>
    <row r="15" spans="1:11" x14ac:dyDescent="0.3">
      <c r="F15" s="6"/>
      <c r="G15" s="6"/>
      <c r="H15" s="6"/>
      <c r="I15" s="6"/>
      <c r="J15" s="6"/>
      <c r="K15" s="6"/>
    </row>
    <row r="16" spans="1:11" x14ac:dyDescent="0.3">
      <c r="F16" s="6"/>
      <c r="G16" s="6"/>
      <c r="H16" s="6"/>
      <c r="I16" s="6"/>
      <c r="J16" s="6"/>
      <c r="K16" s="6"/>
    </row>
    <row r="17" spans="6:11" x14ac:dyDescent="0.3">
      <c r="F17" s="6"/>
      <c r="G17" s="6"/>
      <c r="H17" s="6"/>
      <c r="I17" s="6"/>
      <c r="J17" s="6"/>
      <c r="K17" s="6"/>
    </row>
    <row r="18" spans="6:11" x14ac:dyDescent="0.3">
      <c r="F18" s="6"/>
      <c r="G18" s="6"/>
      <c r="H18" s="6"/>
      <c r="I18" s="6"/>
      <c r="J18" s="6"/>
      <c r="K18" s="6"/>
    </row>
    <row r="19" spans="6:11" x14ac:dyDescent="0.3">
      <c r="F19" s="6"/>
      <c r="G19" s="6"/>
      <c r="H19" s="6"/>
      <c r="I19" s="6"/>
      <c r="J19" s="6"/>
      <c r="K19" s="6"/>
    </row>
    <row r="20" spans="6:11" x14ac:dyDescent="0.3">
      <c r="F20" s="6"/>
      <c r="G20" s="6"/>
      <c r="H20" s="6"/>
      <c r="I20" s="6"/>
      <c r="J20" s="6"/>
      <c r="K20" s="6"/>
    </row>
    <row r="21" spans="6:11" x14ac:dyDescent="0.3">
      <c r="F21" s="6"/>
      <c r="G21" s="6"/>
      <c r="H21" s="6"/>
      <c r="I21" s="6"/>
      <c r="J21" s="6"/>
      <c r="K21" s="6"/>
    </row>
    <row r="22" spans="6:11" x14ac:dyDescent="0.3">
      <c r="F22" s="6"/>
      <c r="G22" s="6"/>
      <c r="H22" s="6"/>
      <c r="I22" s="6"/>
      <c r="J22" s="6"/>
      <c r="K22" s="6"/>
    </row>
    <row r="23" spans="6:11" x14ac:dyDescent="0.3">
      <c r="F23" s="6"/>
      <c r="G23" s="6"/>
      <c r="H23" s="6"/>
      <c r="I23" s="6"/>
      <c r="J23" s="6"/>
      <c r="K23" s="6"/>
    </row>
    <row r="24" spans="6:11" x14ac:dyDescent="0.3">
      <c r="F24" s="6"/>
      <c r="G24" s="6"/>
      <c r="H24" s="6"/>
      <c r="I24" s="6"/>
      <c r="J24" s="6"/>
      <c r="K24" s="6"/>
    </row>
    <row r="25" spans="6:11" x14ac:dyDescent="0.3">
      <c r="F25" s="6"/>
      <c r="G25" s="6"/>
      <c r="H25" s="6"/>
      <c r="I25" s="6"/>
      <c r="J25" s="6"/>
      <c r="K25" s="6"/>
    </row>
    <row r="26" spans="6:11" x14ac:dyDescent="0.3">
      <c r="F26" s="6"/>
      <c r="G26" s="6"/>
      <c r="H26" s="6"/>
      <c r="I26" s="6"/>
      <c r="J26" s="6"/>
      <c r="K26" s="6"/>
    </row>
    <row r="27" spans="6:11" x14ac:dyDescent="0.3">
      <c r="F27" s="6"/>
      <c r="G27" s="6"/>
      <c r="H27" s="6"/>
      <c r="I27" s="6"/>
      <c r="J27" s="6"/>
      <c r="K27" s="6"/>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3074" r:id="rId7" name="Check Box 2">
              <controlPr defaultSize="0" autoFill="0" autoLine="0" autoPict="0">
                <anchor moveWithCells="1">
                  <from>
                    <xdr:col>0</xdr:col>
                    <xdr:colOff>281940</xdr:colOff>
                    <xdr:row>1</xdr:row>
                    <xdr:rowOff>472440</xdr:rowOff>
                  </from>
                  <to>
                    <xdr:col>1</xdr:col>
                    <xdr:colOff>800100</xdr:colOff>
                    <xdr:row>1</xdr:row>
                    <xdr:rowOff>685800</xdr:rowOff>
                  </to>
                </anchor>
              </controlPr>
            </control>
          </mc:Choice>
        </mc:AlternateContent>
        <mc:AlternateContent xmlns:mc="http://schemas.openxmlformats.org/markup-compatibility/2006">
          <mc:Choice Requires="x14">
            <control shapeId="3075" r:id="rId8" name="Check Box 3">
              <controlPr defaultSize="0" autoFill="0" autoLine="0" autoPict="0">
                <anchor moveWithCells="1">
                  <from>
                    <xdr:col>3</xdr:col>
                    <xdr:colOff>449580</xdr:colOff>
                    <xdr:row>1</xdr:row>
                    <xdr:rowOff>441960</xdr:rowOff>
                  </from>
                  <to>
                    <xdr:col>4</xdr:col>
                    <xdr:colOff>952500</xdr:colOff>
                    <xdr:row>1</xdr:row>
                    <xdr:rowOff>662940</xdr:rowOff>
                  </to>
                </anchor>
              </controlPr>
            </control>
          </mc:Choice>
        </mc:AlternateContent>
        <mc:AlternateContent xmlns:mc="http://schemas.openxmlformats.org/markup-compatibility/2006">
          <mc:Choice Requires="x14">
            <control shapeId="3076" r:id="rId9" name="Check Box 4">
              <controlPr defaultSize="0" autoFill="0" autoLine="0" autoPict="0">
                <anchor moveWithCells="1">
                  <from>
                    <xdr:col>6</xdr:col>
                    <xdr:colOff>464820</xdr:colOff>
                    <xdr:row>1</xdr:row>
                    <xdr:rowOff>434340</xdr:rowOff>
                  </from>
                  <to>
                    <xdr:col>7</xdr:col>
                    <xdr:colOff>914400</xdr:colOff>
                    <xdr:row>1</xdr:row>
                    <xdr:rowOff>617220</xdr:rowOff>
                  </to>
                </anchor>
              </controlPr>
            </control>
          </mc:Choice>
        </mc:AlternateContent>
        <mc:AlternateContent xmlns:mc="http://schemas.openxmlformats.org/markup-compatibility/2006">
          <mc:Choice Requires="x14">
            <control shapeId="3077" r:id="rId10" name="Check Box 5">
              <controlPr defaultSize="0" autoFill="0" autoLine="0" autoPict="0">
                <anchor moveWithCells="1">
                  <from>
                    <xdr:col>9</xdr:col>
                    <xdr:colOff>579120</xdr:colOff>
                    <xdr:row>1</xdr:row>
                    <xdr:rowOff>403860</xdr:rowOff>
                  </from>
                  <to>
                    <xdr:col>10</xdr:col>
                    <xdr:colOff>1005840</xdr:colOff>
                    <xdr:row>1</xdr:row>
                    <xdr:rowOff>678180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DDF7E-3A15-412B-8067-B17C2CBFCFAB}">
  <dimension ref="A1:M21"/>
  <sheetViews>
    <sheetView topLeftCell="D1" workbookViewId="0">
      <selection activeCell="I2" sqref="I2"/>
    </sheetView>
  </sheetViews>
  <sheetFormatPr defaultRowHeight="14.4" x14ac:dyDescent="0.3"/>
  <cols>
    <col min="1" max="1" width="15.21875" customWidth="1"/>
    <col min="2" max="2" width="13.5546875" customWidth="1"/>
    <col min="3" max="3" width="13.44140625" customWidth="1"/>
    <col min="5" max="5" width="14.77734375" customWidth="1"/>
    <col min="6" max="6" width="18.77734375" customWidth="1"/>
    <col min="7" max="7" width="17.6640625" customWidth="1"/>
    <col min="9" max="9" width="17.21875" customWidth="1"/>
    <col min="11" max="11" width="14.5546875" customWidth="1"/>
    <col min="12" max="12" width="10.21875" customWidth="1"/>
    <col min="13" max="13" width="15.109375" customWidth="1"/>
  </cols>
  <sheetData>
    <row r="1" spans="1:13" x14ac:dyDescent="0.3">
      <c r="A1" t="s">
        <v>0</v>
      </c>
      <c r="B1" t="s">
        <v>1</v>
      </c>
      <c r="C1" t="s">
        <v>2</v>
      </c>
      <c r="D1" t="s">
        <v>3</v>
      </c>
      <c r="E1" t="s">
        <v>4</v>
      </c>
      <c r="F1" t="s">
        <v>5</v>
      </c>
      <c r="G1" t="s">
        <v>6</v>
      </c>
      <c r="H1" t="s">
        <v>7</v>
      </c>
      <c r="I1" t="s">
        <v>29</v>
      </c>
      <c r="J1" t="s">
        <v>8</v>
      </c>
      <c r="K1" t="s">
        <v>9</v>
      </c>
      <c r="L1" t="s">
        <v>10</v>
      </c>
      <c r="M1" t="s">
        <v>11</v>
      </c>
    </row>
    <row r="2" spans="1:13" x14ac:dyDescent="0.3">
      <c r="A2">
        <v>1</v>
      </c>
      <c r="B2">
        <v>1001</v>
      </c>
      <c r="C2" t="s">
        <v>12</v>
      </c>
      <c r="D2">
        <v>28</v>
      </c>
      <c r="E2" t="s">
        <v>13</v>
      </c>
      <c r="F2" t="s">
        <v>14</v>
      </c>
      <c r="G2">
        <v>2500</v>
      </c>
      <c r="H2">
        <v>1500</v>
      </c>
      <c r="I2" s="5">
        <v>0.1</v>
      </c>
      <c r="J2">
        <v>750</v>
      </c>
      <c r="K2" t="s">
        <v>15</v>
      </c>
      <c r="L2" t="s">
        <v>16</v>
      </c>
      <c r="M2" s="1">
        <v>44931</v>
      </c>
    </row>
    <row r="3" spans="1:13" x14ac:dyDescent="0.3">
      <c r="A3">
        <v>2</v>
      </c>
      <c r="B3">
        <v>1002</v>
      </c>
      <c r="C3" t="s">
        <v>17</v>
      </c>
      <c r="D3">
        <v>34</v>
      </c>
      <c r="E3" t="s">
        <v>18</v>
      </c>
      <c r="F3" t="s">
        <v>19</v>
      </c>
      <c r="G3">
        <v>1800</v>
      </c>
      <c r="H3">
        <v>1100</v>
      </c>
      <c r="I3" s="5">
        <v>0</v>
      </c>
      <c r="J3">
        <v>700</v>
      </c>
      <c r="K3" t="s">
        <v>20</v>
      </c>
      <c r="L3" t="s">
        <v>21</v>
      </c>
      <c r="M3" s="1">
        <v>44932</v>
      </c>
    </row>
    <row r="4" spans="1:13" x14ac:dyDescent="0.3">
      <c r="A4">
        <v>3</v>
      </c>
      <c r="B4">
        <v>1003</v>
      </c>
      <c r="C4" t="s">
        <v>12</v>
      </c>
      <c r="D4">
        <v>22</v>
      </c>
      <c r="E4" t="s">
        <v>13</v>
      </c>
      <c r="F4" t="s">
        <v>14</v>
      </c>
      <c r="G4">
        <v>3200</v>
      </c>
      <c r="H4">
        <v>2000</v>
      </c>
      <c r="I4" s="5">
        <v>0.05</v>
      </c>
      <c r="J4">
        <v>1040</v>
      </c>
      <c r="K4" t="s">
        <v>15</v>
      </c>
      <c r="L4" t="s">
        <v>22</v>
      </c>
      <c r="M4" s="1">
        <v>44933</v>
      </c>
    </row>
    <row r="5" spans="1:13" x14ac:dyDescent="0.3">
      <c r="A5">
        <v>4</v>
      </c>
      <c r="B5">
        <v>1004</v>
      </c>
      <c r="C5" t="s">
        <v>12</v>
      </c>
      <c r="D5">
        <v>30</v>
      </c>
      <c r="E5" t="s">
        <v>23</v>
      </c>
      <c r="F5" t="s">
        <v>19</v>
      </c>
      <c r="G5">
        <v>950</v>
      </c>
      <c r="H5">
        <v>600</v>
      </c>
      <c r="I5" s="5">
        <v>0.15</v>
      </c>
      <c r="J5">
        <v>207.5</v>
      </c>
      <c r="K5" t="s">
        <v>20</v>
      </c>
      <c r="L5" t="s">
        <v>16</v>
      </c>
      <c r="M5" s="1">
        <v>44933</v>
      </c>
    </row>
    <row r="6" spans="1:13" x14ac:dyDescent="0.3">
      <c r="A6">
        <v>5</v>
      </c>
      <c r="B6">
        <v>1005</v>
      </c>
      <c r="C6" t="s">
        <v>17</v>
      </c>
      <c r="D6">
        <v>27</v>
      </c>
      <c r="E6" t="s">
        <v>18</v>
      </c>
      <c r="F6" t="s">
        <v>14</v>
      </c>
      <c r="G6">
        <v>4300</v>
      </c>
      <c r="H6">
        <v>3100</v>
      </c>
      <c r="I6" s="5">
        <v>0.2</v>
      </c>
      <c r="J6">
        <v>440</v>
      </c>
      <c r="K6" t="s">
        <v>15</v>
      </c>
      <c r="L6" t="s">
        <v>21</v>
      </c>
      <c r="M6" s="1">
        <v>44934</v>
      </c>
    </row>
    <row r="7" spans="1:13" x14ac:dyDescent="0.3">
      <c r="A7">
        <v>6</v>
      </c>
      <c r="B7">
        <v>1006</v>
      </c>
      <c r="C7" t="s">
        <v>12</v>
      </c>
      <c r="D7">
        <v>45</v>
      </c>
      <c r="E7" t="s">
        <v>13</v>
      </c>
      <c r="F7" t="s">
        <v>14</v>
      </c>
      <c r="G7">
        <v>5100</v>
      </c>
      <c r="H7">
        <v>3400</v>
      </c>
      <c r="I7" s="5">
        <v>0</v>
      </c>
      <c r="J7">
        <v>1700</v>
      </c>
      <c r="K7" t="s">
        <v>15</v>
      </c>
      <c r="L7" t="s">
        <v>24</v>
      </c>
      <c r="M7" s="1">
        <v>44935</v>
      </c>
    </row>
    <row r="8" spans="1:13" x14ac:dyDescent="0.3">
      <c r="A8">
        <v>7</v>
      </c>
      <c r="B8">
        <v>1007</v>
      </c>
      <c r="C8" t="s">
        <v>17</v>
      </c>
      <c r="D8">
        <v>31</v>
      </c>
      <c r="E8" t="s">
        <v>23</v>
      </c>
      <c r="F8" t="s">
        <v>19</v>
      </c>
      <c r="G8">
        <v>1200</v>
      </c>
      <c r="H8">
        <v>800</v>
      </c>
      <c r="I8" s="5">
        <v>0.1</v>
      </c>
      <c r="J8">
        <v>280</v>
      </c>
      <c r="K8" t="s">
        <v>20</v>
      </c>
      <c r="L8" t="s">
        <v>16</v>
      </c>
      <c r="M8" s="1">
        <v>44936</v>
      </c>
    </row>
    <row r="9" spans="1:13" x14ac:dyDescent="0.3">
      <c r="A9">
        <v>8</v>
      </c>
      <c r="B9">
        <v>1008</v>
      </c>
      <c r="C9" t="s">
        <v>12</v>
      </c>
      <c r="D9">
        <v>26</v>
      </c>
      <c r="E9" t="s">
        <v>18</v>
      </c>
      <c r="F9" t="s">
        <v>14</v>
      </c>
      <c r="G9">
        <v>2750</v>
      </c>
      <c r="H9">
        <v>1700</v>
      </c>
      <c r="I9" s="5">
        <v>0.05</v>
      </c>
      <c r="J9">
        <v>902.5</v>
      </c>
      <c r="K9" t="s">
        <v>15</v>
      </c>
      <c r="L9" t="s">
        <v>22</v>
      </c>
      <c r="M9" s="1">
        <v>44938</v>
      </c>
    </row>
    <row r="10" spans="1:13" x14ac:dyDescent="0.3">
      <c r="A10">
        <v>9</v>
      </c>
      <c r="B10">
        <v>1009</v>
      </c>
      <c r="C10" t="s">
        <v>17</v>
      </c>
      <c r="D10">
        <v>39</v>
      </c>
      <c r="E10" t="s">
        <v>18</v>
      </c>
      <c r="F10" t="s">
        <v>19</v>
      </c>
      <c r="G10">
        <v>2200</v>
      </c>
      <c r="H10">
        <v>1500</v>
      </c>
      <c r="I10" s="5">
        <v>0</v>
      </c>
      <c r="J10">
        <v>700</v>
      </c>
      <c r="K10" t="s">
        <v>20</v>
      </c>
      <c r="L10" t="s">
        <v>25</v>
      </c>
      <c r="M10" s="1">
        <v>44939</v>
      </c>
    </row>
    <row r="11" spans="1:13" x14ac:dyDescent="0.3">
      <c r="A11">
        <v>10</v>
      </c>
      <c r="B11">
        <v>1010</v>
      </c>
      <c r="C11" t="s">
        <v>12</v>
      </c>
      <c r="D11">
        <v>29</v>
      </c>
      <c r="E11" t="s">
        <v>13</v>
      </c>
      <c r="F11" t="s">
        <v>14</v>
      </c>
      <c r="G11">
        <v>4700</v>
      </c>
      <c r="H11">
        <v>3100</v>
      </c>
      <c r="I11" s="5">
        <v>0.1</v>
      </c>
      <c r="J11">
        <v>1130</v>
      </c>
      <c r="K11" t="s">
        <v>15</v>
      </c>
      <c r="L11" t="s">
        <v>21</v>
      </c>
      <c r="M11" s="1">
        <v>44941</v>
      </c>
    </row>
    <row r="12" spans="1:13" x14ac:dyDescent="0.3">
      <c r="A12">
        <v>11</v>
      </c>
      <c r="B12">
        <v>1011</v>
      </c>
      <c r="C12" t="s">
        <v>17</v>
      </c>
      <c r="D12">
        <v>33</v>
      </c>
      <c r="E12" t="s">
        <v>23</v>
      </c>
      <c r="F12" t="s">
        <v>19</v>
      </c>
      <c r="G12">
        <v>1600</v>
      </c>
      <c r="H12">
        <v>1000</v>
      </c>
      <c r="I12" s="5">
        <v>0.05</v>
      </c>
      <c r="J12">
        <v>520</v>
      </c>
      <c r="K12" t="s">
        <v>20</v>
      </c>
      <c r="L12" t="s">
        <v>16</v>
      </c>
      <c r="M12" s="1">
        <v>44941</v>
      </c>
    </row>
    <row r="13" spans="1:13" x14ac:dyDescent="0.3">
      <c r="A13">
        <v>12</v>
      </c>
      <c r="B13">
        <v>1012</v>
      </c>
      <c r="C13" t="s">
        <v>12</v>
      </c>
      <c r="D13">
        <v>41</v>
      </c>
      <c r="E13" t="s">
        <v>18</v>
      </c>
      <c r="F13" t="s">
        <v>14</v>
      </c>
      <c r="G13">
        <v>3900</v>
      </c>
      <c r="H13">
        <v>2600</v>
      </c>
      <c r="I13" s="5">
        <v>0.2</v>
      </c>
      <c r="J13">
        <v>520</v>
      </c>
      <c r="K13" t="s">
        <v>15</v>
      </c>
      <c r="L13" t="s">
        <v>24</v>
      </c>
      <c r="M13" s="1">
        <v>44942</v>
      </c>
    </row>
    <row r="14" spans="1:13" x14ac:dyDescent="0.3">
      <c r="A14">
        <v>13</v>
      </c>
      <c r="B14">
        <v>1013</v>
      </c>
      <c r="C14" t="s">
        <v>17</v>
      </c>
      <c r="D14">
        <v>25</v>
      </c>
      <c r="E14" t="s">
        <v>18</v>
      </c>
      <c r="F14" t="s">
        <v>19</v>
      </c>
      <c r="G14">
        <v>2100</v>
      </c>
      <c r="H14">
        <v>1400</v>
      </c>
      <c r="I14" s="5">
        <v>0</v>
      </c>
      <c r="J14">
        <v>700</v>
      </c>
      <c r="K14" t="s">
        <v>20</v>
      </c>
      <c r="L14" t="s">
        <v>22</v>
      </c>
      <c r="M14" s="1">
        <v>44943</v>
      </c>
    </row>
    <row r="15" spans="1:13" x14ac:dyDescent="0.3">
      <c r="A15">
        <v>14</v>
      </c>
      <c r="B15">
        <v>1014</v>
      </c>
      <c r="C15" t="s">
        <v>12</v>
      </c>
      <c r="D15">
        <v>24</v>
      </c>
      <c r="E15" t="s">
        <v>13</v>
      </c>
      <c r="F15" t="s">
        <v>14</v>
      </c>
      <c r="G15">
        <v>3500</v>
      </c>
      <c r="H15">
        <v>2100</v>
      </c>
      <c r="I15" s="5">
        <v>0.15</v>
      </c>
      <c r="J15">
        <v>875</v>
      </c>
      <c r="K15" t="s">
        <v>15</v>
      </c>
      <c r="L15" t="s">
        <v>16</v>
      </c>
      <c r="M15" s="1">
        <v>44944</v>
      </c>
    </row>
    <row r="16" spans="1:13" x14ac:dyDescent="0.3">
      <c r="A16">
        <v>15</v>
      </c>
      <c r="B16">
        <v>1015</v>
      </c>
      <c r="C16" t="s">
        <v>17</v>
      </c>
      <c r="D16">
        <v>35</v>
      </c>
      <c r="E16" t="s">
        <v>18</v>
      </c>
      <c r="F16" t="s">
        <v>19</v>
      </c>
      <c r="G16">
        <v>1400</v>
      </c>
      <c r="H16">
        <v>900</v>
      </c>
      <c r="I16" s="5">
        <v>0.1</v>
      </c>
      <c r="J16">
        <v>360</v>
      </c>
      <c r="K16" t="s">
        <v>20</v>
      </c>
      <c r="L16" t="s">
        <v>25</v>
      </c>
      <c r="M16" s="1">
        <v>44945</v>
      </c>
    </row>
    <row r="17" spans="1:13" x14ac:dyDescent="0.3">
      <c r="A17">
        <v>16</v>
      </c>
      <c r="B17">
        <v>1016</v>
      </c>
      <c r="C17" t="s">
        <v>12</v>
      </c>
      <c r="D17">
        <v>38</v>
      </c>
      <c r="E17" t="s">
        <v>13</v>
      </c>
      <c r="F17" t="s">
        <v>14</v>
      </c>
      <c r="G17">
        <v>4900</v>
      </c>
      <c r="H17">
        <v>3200</v>
      </c>
      <c r="I17" s="5">
        <v>0.05</v>
      </c>
      <c r="J17">
        <v>1330</v>
      </c>
      <c r="K17" t="s">
        <v>15</v>
      </c>
      <c r="L17" t="s">
        <v>21</v>
      </c>
      <c r="M17" s="1">
        <v>44946</v>
      </c>
    </row>
    <row r="18" spans="1:13" x14ac:dyDescent="0.3">
      <c r="A18">
        <v>17</v>
      </c>
      <c r="B18">
        <v>1017</v>
      </c>
      <c r="C18" t="s">
        <v>17</v>
      </c>
      <c r="D18">
        <v>29</v>
      </c>
      <c r="E18" t="s">
        <v>23</v>
      </c>
      <c r="F18" t="s">
        <v>19</v>
      </c>
      <c r="G18">
        <v>1300</v>
      </c>
      <c r="H18">
        <v>800</v>
      </c>
      <c r="I18" s="5">
        <v>0</v>
      </c>
      <c r="J18">
        <v>500</v>
      </c>
      <c r="K18" t="s">
        <v>20</v>
      </c>
      <c r="L18" t="s">
        <v>22</v>
      </c>
      <c r="M18" s="1">
        <v>44946</v>
      </c>
    </row>
    <row r="19" spans="1:13" x14ac:dyDescent="0.3">
      <c r="A19">
        <v>18</v>
      </c>
      <c r="B19">
        <v>1018</v>
      </c>
      <c r="C19" t="s">
        <v>12</v>
      </c>
      <c r="D19">
        <v>32</v>
      </c>
      <c r="E19" t="s">
        <v>18</v>
      </c>
      <c r="F19" t="s">
        <v>14</v>
      </c>
      <c r="G19">
        <v>2600</v>
      </c>
      <c r="H19">
        <v>1700</v>
      </c>
      <c r="I19" s="5">
        <v>0.1</v>
      </c>
      <c r="J19">
        <v>540</v>
      </c>
      <c r="K19" t="s">
        <v>15</v>
      </c>
      <c r="L19" t="s">
        <v>16</v>
      </c>
      <c r="M19" s="1">
        <v>44947</v>
      </c>
    </row>
    <row r="20" spans="1:13" x14ac:dyDescent="0.3">
      <c r="A20">
        <v>19</v>
      </c>
      <c r="B20">
        <v>1019</v>
      </c>
      <c r="C20" t="s">
        <v>17</v>
      </c>
      <c r="D20">
        <v>40</v>
      </c>
      <c r="E20" t="s">
        <v>13</v>
      </c>
      <c r="F20" t="s">
        <v>14</v>
      </c>
      <c r="G20">
        <v>5200</v>
      </c>
      <c r="H20">
        <v>3300</v>
      </c>
      <c r="I20" s="5">
        <v>0</v>
      </c>
      <c r="J20">
        <v>1900</v>
      </c>
      <c r="K20" t="s">
        <v>15</v>
      </c>
      <c r="L20" t="s">
        <v>24</v>
      </c>
      <c r="M20" s="1">
        <v>44947</v>
      </c>
    </row>
    <row r="21" spans="1:13" x14ac:dyDescent="0.3">
      <c r="A21">
        <v>20</v>
      </c>
      <c r="B21">
        <v>1020</v>
      </c>
      <c r="C21" t="s">
        <v>12</v>
      </c>
      <c r="D21">
        <v>27</v>
      </c>
      <c r="E21" t="s">
        <v>23</v>
      </c>
      <c r="F21" t="s">
        <v>19</v>
      </c>
      <c r="G21">
        <v>1100</v>
      </c>
      <c r="H21">
        <v>700</v>
      </c>
      <c r="I21" s="5">
        <v>0.05</v>
      </c>
      <c r="J21">
        <v>345</v>
      </c>
      <c r="K21" t="s">
        <v>20</v>
      </c>
      <c r="L21" t="s">
        <v>25</v>
      </c>
      <c r="M21" s="1">
        <v>44948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Pradnya Nikam</dc:creator>
  <cp:lastModifiedBy>Pradnya Nikam</cp:lastModifiedBy>
  <cp:lastPrinted>2025-11-14T14:22:25Z</cp:lastPrinted>
  <dcterms:created xsi:type="dcterms:W3CDTF">2025-11-13T20:25:37Z</dcterms:created>
  <dcterms:modified xsi:type="dcterms:W3CDTF">2025-11-14T14:43:04Z</dcterms:modified>
</cp:coreProperties>
</file>